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907"/>
  <workbookPr/>
  <mc:AlternateContent xmlns:mc="http://schemas.openxmlformats.org/markup-compatibility/2006">
    <mc:Choice Requires="x15">
      <x15ac:absPath xmlns:x15ac="http://schemas.microsoft.com/office/spreadsheetml/2010/11/ac" url="/Users/dtu/Desktop/PE_RC_Desktop/fxn_DT/data/Bin_By_Thirds_nB1000/"/>
    </mc:Choice>
  </mc:AlternateContent>
  <bookViews>
    <workbookView xWindow="2500" yWindow="2520" windowWidth="23580" windowHeight="20100"/>
  </bookViews>
  <sheets>
    <sheet name="Sheet1" sheetId="1" r:id="rId1"/>
    <sheet name="Sheet2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L13" i="1"/>
  <c r="J13" i="1"/>
  <c r="H13" i="1"/>
  <c r="G13" i="1"/>
  <c r="F13" i="1"/>
  <c r="D13" i="1"/>
  <c r="C13" i="1"/>
</calcChain>
</file>

<file path=xl/sharedStrings.xml><?xml version="1.0" encoding="utf-8"?>
<sst xmlns="http://schemas.openxmlformats.org/spreadsheetml/2006/main" count="69" uniqueCount="69">
  <si>
    <t>Subj</t>
  </si>
  <si>
    <t>nBins</t>
  </si>
  <si>
    <t>Bins</t>
  </si>
  <si>
    <t>YK</t>
  </si>
  <si>
    <t>3,43,7,6,2</t>
  </si>
  <si>
    <t>2,1,13,2,4,2</t>
  </si>
  <si>
    <t>SP</t>
  </si>
  <si>
    <t>1,6,1,51,7,4,8</t>
  </si>
  <si>
    <t>1,2,1,3,3,1,1,2</t>
  </si>
  <si>
    <t>SX</t>
  </si>
  <si>
    <t>3, 5,9,1,1,3</t>
  </si>
  <si>
    <t>2,2,18,30,51,2,2</t>
  </si>
  <si>
    <t>LS</t>
  </si>
  <si>
    <t>1,3,8,2,3,5,47</t>
  </si>
  <si>
    <t>3,5,4,2,2,3,10,6</t>
  </si>
  <si>
    <t>RE</t>
  </si>
  <si>
    <t>5,5,3,1,52,9</t>
  </si>
  <si>
    <t>1,6,2,4,23,2,7</t>
  </si>
  <si>
    <t>MD</t>
  </si>
  <si>
    <t>5,6,6,1,1</t>
  </si>
  <si>
    <t>1,2,2,2,1,1</t>
  </si>
  <si>
    <t>AS</t>
  </si>
  <si>
    <t>10,1,4,6,1,1</t>
  </si>
  <si>
    <t>1,1,3,2,1,2,2</t>
  </si>
  <si>
    <t>HK</t>
  </si>
  <si>
    <t>49,1,2,1,1</t>
  </si>
  <si>
    <t>4,2,3,13,5,1</t>
  </si>
  <si>
    <t>FH</t>
  </si>
  <si>
    <t>5,4,1,3,12</t>
  </si>
  <si>
    <t>20,4,8,12,4,2</t>
  </si>
  <si>
    <t>HA</t>
  </si>
  <si>
    <t>3,3,5,5,9</t>
  </si>
  <si>
    <t>2,4,4,8,3,2</t>
  </si>
  <si>
    <t>DT</t>
  </si>
  <si>
    <t>56,4,35,41,16</t>
  </si>
  <si>
    <t>5,21,3,3,5,4</t>
  </si>
  <si>
    <t xml:space="preserve">set 1 
set 2
set 3 </t>
  </si>
  <si>
    <t xml:space="preserve">set 4
set 5
set 6 </t>
  </si>
  <si>
    <t>set 7
set 8
set 9
set 10
set 11
set 12</t>
  </si>
  <si>
    <t>set 13
set 14
set 15</t>
  </si>
  <si>
    <t>set 16
set 17
set 18
set 19</t>
  </si>
  <si>
    <t>set 20
set 21
set 22</t>
  </si>
  <si>
    <t>set 23
set 24
set 25
set 26</t>
  </si>
  <si>
    <t>set 27
set 28
set 29</t>
  </si>
  <si>
    <t>set 30
set 31
set 32</t>
  </si>
  <si>
    <t>set 33
set 34
set 35</t>
  </si>
  <si>
    <t>set 36
set 37
set 38</t>
  </si>
  <si>
    <t>set 39
set 40</t>
  </si>
  <si>
    <t>ID</t>
  </si>
  <si>
    <t>Time_Range</t>
  </si>
  <si>
    <t>Mean_Time_between_sess</t>
  </si>
  <si>
    <t>Time_between_sess</t>
  </si>
  <si>
    <t>Time_between_sess_SD</t>
  </si>
  <si>
    <t>nTrials_per_Bin_within-suj_AVG</t>
  </si>
  <si>
    <t>nTrials_per_Bin_within-subj_SD</t>
  </si>
  <si>
    <t>Mean_Time_per_Bin</t>
  </si>
  <si>
    <t>Time_per_Bin</t>
  </si>
  <si>
    <t>SD_Time_per_Bin</t>
  </si>
  <si>
    <t>[1:12, 13:26, 27:40]</t>
  </si>
  <si>
    <t>[1:17, 18:32, 33:48]</t>
  </si>
  <si>
    <t>[1:14, 15:29, 30:42]</t>
  </si>
  <si>
    <t>[1:16, 17:33, 34:48]</t>
  </si>
  <si>
    <t>[1:13, 14:29, 30:44]</t>
  </si>
  <si>
    <t>[1:15, 16:32, 33:44]</t>
  </si>
  <si>
    <t>[1:14, 15:30, 31:41]</t>
  </si>
  <si>
    <t>[1:12, 13:28, 29:44]</t>
  </si>
  <si>
    <t>[1:15, 16:28, 29:41]</t>
  </si>
  <si>
    <t>[1:13, 14:28, 29:42]</t>
  </si>
  <si>
    <t>[1:13, 14:25, 26:41]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</si>
</sst>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 d"/>
    <numFmt numFmtId="165" formatCode="mmm\ d\,\ 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Proxima No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vertical="top"/>
    </xf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D14"/>
  <sheetViews>
    <sheetView tabSelected="1" workbookViewId="0">
      <selection activeCell="I14" sqref="I14"/>
    </sheetView>
  </sheetViews>
  <sheetFormatPr baseColWidth="10" defaultColWidth="12.5" defaultRowHeight="15.75" customHeight="1" x14ac:dyDescent="0.15"/>
  <cols>
    <col min="10" max="11" width="16.5" customWidth="1"/>
    <col min="12" max="12" width="15.5" customWidth="1"/>
  </cols>
  <sheetData>
    <row r="1" spans="1:30" ht="15.75" customHeight="1" x14ac:dyDescent="0.15">
      <c r="A1" s="1" t="s">
        <v>48</v>
      </c>
      <c r="B1" s="1" t="s">
        <v>0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1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75" customHeight="1" x14ac:dyDescent="0.15">
      <c r="A2" s="3">
        <v>1</v>
      </c>
      <c r="B2" s="3" t="s">
        <v>3</v>
      </c>
      <c r="C2" s="3">
        <v>85</v>
      </c>
      <c r="D2" s="3">
        <v>12.2</v>
      </c>
      <c r="E2" s="3" t="s">
        <v>4</v>
      </c>
      <c r="G2" s="3">
        <v>6</v>
      </c>
      <c r="H2" s="3">
        <v>667</v>
      </c>
      <c r="I2" s="3"/>
      <c r="J2" s="3">
        <v>4</v>
      </c>
      <c r="K2" s="3" t="s">
        <v>5</v>
      </c>
      <c r="M2" s="3" t="s">
        <v>58</v>
      </c>
    </row>
    <row r="3" spans="1:30" ht="15.75" customHeight="1" x14ac:dyDescent="0.15">
      <c r="A3" s="3">
        <v>2</v>
      </c>
      <c r="B3" s="3" t="s">
        <v>6</v>
      </c>
      <c r="C3" s="3">
        <v>92</v>
      </c>
      <c r="D3" s="3">
        <v>11.1</v>
      </c>
      <c r="E3" s="3" t="s">
        <v>7</v>
      </c>
      <c r="G3" s="3">
        <v>8</v>
      </c>
      <c r="H3" s="3">
        <v>800</v>
      </c>
      <c r="I3" s="3"/>
      <c r="J3" s="3">
        <v>1.7</v>
      </c>
      <c r="K3" s="3" t="s">
        <v>8</v>
      </c>
      <c r="M3" s="7" t="s">
        <v>59</v>
      </c>
    </row>
    <row r="4" spans="1:30" ht="15.75" customHeight="1" x14ac:dyDescent="0.15">
      <c r="A4" s="3">
        <v>3</v>
      </c>
      <c r="B4" s="3" t="s">
        <v>9</v>
      </c>
      <c r="C4" s="3">
        <v>129</v>
      </c>
      <c r="D4" s="3">
        <v>3.67</v>
      </c>
      <c r="E4" s="3" t="s">
        <v>10</v>
      </c>
      <c r="G4" s="3">
        <v>7</v>
      </c>
      <c r="H4" s="3">
        <v>700</v>
      </c>
      <c r="I4" s="3"/>
      <c r="J4" s="3">
        <v>15.3</v>
      </c>
      <c r="K4" s="3" t="s">
        <v>11</v>
      </c>
      <c r="M4" s="3" t="s">
        <v>60</v>
      </c>
    </row>
    <row r="5" spans="1:30" ht="15.75" customHeight="1" x14ac:dyDescent="0.15">
      <c r="A5" s="3">
        <v>4</v>
      </c>
      <c r="B5" s="3" t="s">
        <v>12</v>
      </c>
      <c r="C5" s="3">
        <v>104</v>
      </c>
      <c r="D5" s="3">
        <v>9.86</v>
      </c>
      <c r="E5" s="3" t="s">
        <v>13</v>
      </c>
      <c r="G5" s="3">
        <v>8</v>
      </c>
      <c r="H5" s="3">
        <v>800</v>
      </c>
      <c r="I5" s="3"/>
      <c r="J5" s="3">
        <v>4.38</v>
      </c>
      <c r="K5" s="3" t="s">
        <v>14</v>
      </c>
      <c r="M5" s="3" t="s">
        <v>61</v>
      </c>
    </row>
    <row r="6" spans="1:30" ht="15.75" customHeight="1" x14ac:dyDescent="0.15">
      <c r="A6" s="3">
        <v>5</v>
      </c>
      <c r="B6" s="3" t="s">
        <v>15</v>
      </c>
      <c r="C6" s="3">
        <v>120</v>
      </c>
      <c r="D6" s="3">
        <v>12.5</v>
      </c>
      <c r="E6" s="3" t="s">
        <v>16</v>
      </c>
      <c r="G6" s="3">
        <v>7</v>
      </c>
      <c r="H6" s="3">
        <v>733</v>
      </c>
      <c r="I6" s="3"/>
      <c r="J6" s="3">
        <v>6.43</v>
      </c>
      <c r="K6" s="3" t="s">
        <v>17</v>
      </c>
      <c r="M6" s="3" t="s">
        <v>62</v>
      </c>
    </row>
    <row r="7" spans="1:30" ht="15.75" customHeight="1" x14ac:dyDescent="0.15">
      <c r="A7" s="3">
        <v>6</v>
      </c>
      <c r="B7" s="3" t="s">
        <v>18</v>
      </c>
      <c r="C7" s="3">
        <v>28</v>
      </c>
      <c r="D7" s="3">
        <v>3.8</v>
      </c>
      <c r="E7" s="3" t="s">
        <v>19</v>
      </c>
      <c r="G7" s="3">
        <v>6</v>
      </c>
      <c r="H7" s="3">
        <v>733</v>
      </c>
      <c r="I7" s="3"/>
      <c r="J7" s="3">
        <v>1.5</v>
      </c>
      <c r="K7" s="3" t="s">
        <v>20</v>
      </c>
      <c r="M7" s="3" t="s">
        <v>63</v>
      </c>
    </row>
    <row r="8" spans="1:30" ht="15.75" customHeight="1" x14ac:dyDescent="0.15">
      <c r="A8" s="3">
        <v>7</v>
      </c>
      <c r="B8" s="3" t="s">
        <v>21</v>
      </c>
      <c r="C8" s="3">
        <v>35</v>
      </c>
      <c r="D8" s="3">
        <v>3.83</v>
      </c>
      <c r="E8" s="3" t="s">
        <v>22</v>
      </c>
      <c r="G8" s="3">
        <v>7</v>
      </c>
      <c r="H8" s="3">
        <v>683</v>
      </c>
      <c r="I8" s="3"/>
      <c r="J8" s="3">
        <v>1.71</v>
      </c>
      <c r="K8" s="3" t="s">
        <v>23</v>
      </c>
      <c r="M8" s="3" t="s">
        <v>64</v>
      </c>
    </row>
    <row r="9" spans="1:30" ht="15.75" customHeight="1" x14ac:dyDescent="0.15">
      <c r="A9" s="3">
        <v>8</v>
      </c>
      <c r="B9" s="3" t="s">
        <v>24</v>
      </c>
      <c r="C9" s="3">
        <v>82</v>
      </c>
      <c r="D9" s="3">
        <v>10.8</v>
      </c>
      <c r="E9" s="3" t="s">
        <v>25</v>
      </c>
      <c r="G9" s="3">
        <v>6</v>
      </c>
      <c r="H9" s="3">
        <v>733</v>
      </c>
      <c r="I9" s="3"/>
      <c r="J9" s="3">
        <v>4.67</v>
      </c>
      <c r="K9" s="3" t="s">
        <v>26</v>
      </c>
      <c r="M9" s="3" t="s">
        <v>65</v>
      </c>
    </row>
    <row r="10" spans="1:30" ht="15.75" customHeight="1" x14ac:dyDescent="0.15">
      <c r="A10" s="3">
        <v>9</v>
      </c>
      <c r="B10" s="3" t="s">
        <v>27</v>
      </c>
      <c r="C10" s="3">
        <v>75</v>
      </c>
      <c r="D10" s="3">
        <v>5</v>
      </c>
      <c r="E10" s="3" t="s">
        <v>28</v>
      </c>
      <c r="G10" s="3">
        <v>6</v>
      </c>
      <c r="H10" s="3">
        <v>683</v>
      </c>
      <c r="I10" s="3"/>
      <c r="J10" s="3">
        <v>8.33</v>
      </c>
      <c r="K10" s="3" t="s">
        <v>29</v>
      </c>
      <c r="M10" s="3" t="s">
        <v>66</v>
      </c>
    </row>
    <row r="11" spans="1:30" ht="15.75" customHeight="1" x14ac:dyDescent="0.15">
      <c r="A11" s="3">
        <v>10</v>
      </c>
      <c r="B11" s="3" t="s">
        <v>30</v>
      </c>
      <c r="C11" s="3">
        <v>48</v>
      </c>
      <c r="D11" s="3">
        <v>5</v>
      </c>
      <c r="E11" s="3" t="s">
        <v>31</v>
      </c>
      <c r="G11" s="3">
        <v>6</v>
      </c>
      <c r="H11" s="3">
        <v>700</v>
      </c>
      <c r="I11" s="3"/>
      <c r="J11" s="3">
        <v>3.83</v>
      </c>
      <c r="K11" s="3" t="s">
        <v>32</v>
      </c>
      <c r="M11" s="3" t="s">
        <v>67</v>
      </c>
    </row>
    <row r="12" spans="1:30" ht="15.75" customHeight="1" x14ac:dyDescent="0.15">
      <c r="A12" s="3">
        <v>11</v>
      </c>
      <c r="B12" s="3" t="s">
        <v>33</v>
      </c>
      <c r="C12" s="3">
        <v>193</v>
      </c>
      <c r="D12" s="3">
        <v>30.4</v>
      </c>
      <c r="E12" s="3" t="s">
        <v>34</v>
      </c>
      <c r="G12" s="3">
        <v>6</v>
      </c>
      <c r="H12" s="3">
        <v>683</v>
      </c>
      <c r="I12" s="3"/>
      <c r="J12" s="3">
        <v>6.83</v>
      </c>
      <c r="K12" s="3" t="s">
        <v>35</v>
      </c>
      <c r="M12" s="3" t="s">
        <v>68</v>
      </c>
    </row>
    <row r="13" spans="1:30" ht="15.75" customHeight="1" x14ac:dyDescent="0.15">
      <c r="C13" s="3">
        <f>AVERAGE(C2:C12)</f>
        <v>90.090909090909093</v>
      </c>
      <c r="D13" s="3">
        <f>AVERAGE(D2:D12)</f>
        <v>9.8327272727272721</v>
      </c>
      <c r="F13" s="3">
        <f>STDEV(D2:D12)/SQRT(12)</f>
        <v>2.2274604713698407</v>
      </c>
      <c r="G13" s="3">
        <f>AVERAGE(G2:G12)</f>
        <v>6.6363636363636367</v>
      </c>
      <c r="H13" s="3">
        <f>AVERAGE(H2:H12)</f>
        <v>719.5454545454545</v>
      </c>
      <c r="I13" s="3">
        <v>81</v>
      </c>
      <c r="J13" s="3">
        <f>AVERAGE(J2:J12)</f>
        <v>5.3345454545454549</v>
      </c>
      <c r="L13" s="3">
        <f>STDEV(J2:J12)/SQRT(12)</f>
        <v>1.1480703837572881</v>
      </c>
    </row>
    <row r="14" spans="1:30" ht="15.75" customHeight="1" x14ac:dyDescent="0.15">
      <c r="C14" s="3">
        <f>STDEV(C2:C12)</f>
        <v>47.092365719837318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B13"/>
  <sheetViews>
    <sheetView workbookViewId="0"/>
  </sheetViews>
  <sheetFormatPr baseColWidth="10" defaultColWidth="12.5" defaultRowHeight="15.75" customHeight="1" x14ac:dyDescent="0.15"/>
  <sheetData>
    <row r="1" spans="1:2" ht="15.75" customHeight="1" x14ac:dyDescent="0.15">
      <c r="A1" s="4"/>
    </row>
    <row r="2" spans="1:2" ht="15.75" customHeight="1" x14ac:dyDescent="0.15">
      <c r="A2" s="4">
        <v>44532</v>
      </c>
      <c r="B2" s="5" t="s">
        <v>36</v>
      </c>
    </row>
    <row r="3" spans="1:2" ht="15.75" customHeight="1" x14ac:dyDescent="0.15">
      <c r="A3" s="4">
        <v>44533</v>
      </c>
      <c r="B3" s="5" t="s">
        <v>37</v>
      </c>
    </row>
    <row r="4" spans="1:2" ht="15.75" customHeight="1" x14ac:dyDescent="0.15">
      <c r="A4" s="4">
        <v>44536</v>
      </c>
      <c r="B4" s="5" t="s">
        <v>38</v>
      </c>
    </row>
    <row r="5" spans="1:2" ht="15.75" customHeight="1" x14ac:dyDescent="0.15">
      <c r="A5" s="6">
        <v>44610</v>
      </c>
      <c r="B5" s="5" t="s">
        <v>39</v>
      </c>
    </row>
    <row r="6" spans="1:2" ht="15.75" customHeight="1" x14ac:dyDescent="0.15">
      <c r="A6" s="4">
        <v>44622</v>
      </c>
      <c r="B6" s="5" t="s">
        <v>40</v>
      </c>
    </row>
    <row r="7" spans="1:2" ht="15.75" customHeight="1" x14ac:dyDescent="0.15">
      <c r="A7" s="4">
        <v>44623</v>
      </c>
      <c r="B7" s="5" t="s">
        <v>41</v>
      </c>
    </row>
    <row r="8" spans="1:2" ht="15.75" customHeight="1" x14ac:dyDescent="0.15">
      <c r="A8" s="4">
        <v>44630</v>
      </c>
      <c r="B8" s="5" t="s">
        <v>42</v>
      </c>
    </row>
    <row r="9" spans="1:2" ht="15.75" customHeight="1" x14ac:dyDescent="0.15">
      <c r="A9" s="4">
        <v>44631</v>
      </c>
      <c r="B9" s="5" t="s">
        <v>43</v>
      </c>
    </row>
    <row r="10" spans="1:2" ht="15.75" customHeight="1" x14ac:dyDescent="0.15">
      <c r="A10" s="4">
        <v>44637</v>
      </c>
      <c r="B10" s="5" t="s">
        <v>44</v>
      </c>
    </row>
    <row r="11" spans="1:2" ht="15.75" customHeight="1" x14ac:dyDescent="0.15">
      <c r="A11" s="4">
        <v>44641</v>
      </c>
      <c r="B11" s="5" t="s">
        <v>45</v>
      </c>
    </row>
    <row r="12" spans="1:2" ht="15.75" customHeight="1" x14ac:dyDescent="0.15">
      <c r="A12" s="4">
        <v>44643</v>
      </c>
      <c r="B12" s="5" t="s">
        <v>46</v>
      </c>
    </row>
    <row r="13" spans="1:2" ht="15.75" customHeight="1" x14ac:dyDescent="0.15">
      <c r="A13" s="4">
        <v>44644</v>
      </c>
      <c r="B13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2023-05-04T22:04:11Z</dcterms:modified>
</cp:coreProperties>
</file>